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xr9211/Downloads/"/>
    </mc:Choice>
  </mc:AlternateContent>
  <xr:revisionPtr revIDLastSave="0" documentId="13_ncr:1_{FB7D1605-961A-3E41-89A0-F4B6FDB42DF7}" xr6:coauthVersionLast="45" xr6:coauthVersionMax="45" xr10:uidLastSave="{00000000-0000-0000-0000-000000000000}"/>
  <bookViews>
    <workbookView xWindow="80" yWindow="1240" windowWidth="22900" windowHeight="13880" xr2:uid="{77C17D7F-C330-6149-8EC7-4A5F1BCE1417}"/>
  </bookViews>
  <sheets>
    <sheet name="Kraftwerk" sheetId="11" r:id="rId1"/>
  </sheets>
  <functionGroups builtInGroupCount="19"/>
  <definedNames>
    <definedName name="PBIS_SPRINT">#REF!</definedName>
    <definedName name="PBIS_START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2" i="11"/>
  <c r="A11" i="11" l="1"/>
  <c r="C11" i="11"/>
  <c r="D11" i="11"/>
  <c r="G11" i="11"/>
  <c r="H11" i="11"/>
  <c r="K11" i="11"/>
  <c r="L11" i="11"/>
  <c r="M11" i="11"/>
  <c r="N11" i="11"/>
  <c r="P11" i="11"/>
  <c r="Q11" i="11"/>
  <c r="E11" i="11" l="1"/>
  <c r="I11" i="11"/>
  <c r="R11" i="11"/>
  <c r="F11" i="11"/>
  <c r="J11" i="11"/>
  <c r="S11" i="11"/>
  <c r="T11" i="11"/>
  <c r="O11" i="11"/>
  <c r="A10" i="11"/>
  <c r="C10" i="11"/>
  <c r="D10" i="11"/>
  <c r="G10" i="11"/>
  <c r="H10" i="11"/>
  <c r="K10" i="11"/>
  <c r="L10" i="11"/>
  <c r="M10" i="11"/>
  <c r="N10" i="11"/>
  <c r="P10" i="11"/>
  <c r="Q10" i="11"/>
  <c r="T10" i="11" l="1"/>
  <c r="F10" i="11"/>
  <c r="I10" i="11"/>
  <c r="E10" i="11"/>
  <c r="J10" i="11"/>
  <c r="S10" i="11"/>
  <c r="R10" i="11"/>
  <c r="O10" i="11"/>
  <c r="A9" i="11"/>
  <c r="C9" i="11"/>
  <c r="D9" i="11"/>
  <c r="G9" i="11"/>
  <c r="H9" i="11"/>
  <c r="K9" i="11"/>
  <c r="L9" i="11"/>
  <c r="M9" i="11"/>
  <c r="N9" i="11"/>
  <c r="P9" i="11"/>
  <c r="Q9" i="11"/>
  <c r="E9" i="11" l="1"/>
  <c r="F9" i="11"/>
  <c r="I9" i="11"/>
  <c r="O9" i="11"/>
  <c r="T9" i="11"/>
  <c r="R9" i="11"/>
  <c r="S9" i="11"/>
  <c r="J9" i="11"/>
  <c r="A8" i="11"/>
  <c r="C8" i="11"/>
  <c r="D8" i="11"/>
  <c r="G8" i="11"/>
  <c r="H8" i="11"/>
  <c r="K8" i="11"/>
  <c r="L8" i="11"/>
  <c r="M8" i="11"/>
  <c r="N8" i="11"/>
  <c r="P8" i="11"/>
  <c r="Q8" i="11"/>
  <c r="J8" i="11" l="1"/>
  <c r="F8" i="11"/>
  <c r="I8" i="11"/>
  <c r="R8" i="11"/>
  <c r="E8" i="11"/>
  <c r="O8" i="11"/>
  <c r="T8" i="11"/>
  <c r="S8" i="11"/>
  <c r="N2" i="11"/>
  <c r="N3" i="11"/>
  <c r="M2" i="11"/>
  <c r="M3" i="11"/>
  <c r="A7" i="11"/>
  <c r="A6" i="11"/>
  <c r="A5" i="11"/>
  <c r="A4" i="11"/>
  <c r="A3" i="11"/>
  <c r="A2" i="11"/>
  <c r="S3" i="11" l="1"/>
  <c r="S2" i="11"/>
  <c r="C5" i="11" l="1"/>
  <c r="D5" i="11"/>
  <c r="G5" i="11"/>
  <c r="H5" i="11"/>
  <c r="K5" i="11"/>
  <c r="L5" i="11"/>
  <c r="M5" i="11"/>
  <c r="N5" i="11"/>
  <c r="P5" i="11"/>
  <c r="Q5" i="11"/>
  <c r="C6" i="11"/>
  <c r="D6" i="11"/>
  <c r="G6" i="11"/>
  <c r="H6" i="11"/>
  <c r="K6" i="11"/>
  <c r="L6" i="11"/>
  <c r="M6" i="11"/>
  <c r="N6" i="11"/>
  <c r="P6" i="11"/>
  <c r="Q6" i="11"/>
  <c r="C7" i="11"/>
  <c r="D7" i="11"/>
  <c r="G7" i="11"/>
  <c r="H7" i="11"/>
  <c r="K7" i="11"/>
  <c r="L7" i="11"/>
  <c r="M7" i="11"/>
  <c r="N7" i="11"/>
  <c r="P7" i="11"/>
  <c r="Q7" i="11"/>
  <c r="F7" i="11" l="1"/>
  <c r="I5" i="11"/>
  <c r="S6" i="11"/>
  <c r="R5" i="11"/>
  <c r="I7" i="11"/>
  <c r="R6" i="11"/>
  <c r="E6" i="11"/>
  <c r="T5" i="11"/>
  <c r="E5" i="11"/>
  <c r="S5" i="11"/>
  <c r="J5" i="11"/>
  <c r="F5" i="11"/>
  <c r="E7" i="11"/>
  <c r="I6" i="11"/>
  <c r="S7" i="11"/>
  <c r="J7" i="11"/>
  <c r="R7" i="11"/>
  <c r="T7" i="11"/>
  <c r="J6" i="11"/>
  <c r="F6" i="11"/>
  <c r="O5" i="11"/>
  <c r="O6" i="11"/>
  <c r="O7" i="11"/>
  <c r="T6" i="11"/>
  <c r="Q2" i="11"/>
  <c r="Q3" i="11"/>
  <c r="P2" i="11"/>
  <c r="P3" i="11"/>
  <c r="L2" i="11"/>
  <c r="L3" i="11"/>
  <c r="K2" i="11"/>
  <c r="K3" i="11"/>
  <c r="H2" i="11"/>
  <c r="H3" i="11"/>
  <c r="G2" i="11"/>
  <c r="G3" i="11"/>
  <c r="D2" i="11"/>
  <c r="D3" i="11"/>
  <c r="C2" i="11"/>
  <c r="C3" i="11"/>
  <c r="Q4" i="11"/>
  <c r="P4" i="11"/>
  <c r="N4" i="11"/>
  <c r="M4" i="11"/>
  <c r="L4" i="11"/>
  <c r="K4" i="11"/>
  <c r="H4" i="11"/>
  <c r="G4" i="11"/>
  <c r="D4" i="11"/>
  <c r="C4" i="11"/>
  <c r="O4" i="11" l="1"/>
  <c r="F4" i="11"/>
  <c r="R4" i="11"/>
  <c r="J4" i="11"/>
  <c r="I4" i="11"/>
  <c r="E4" i="11"/>
  <c r="S4" i="11"/>
  <c r="T4" i="11"/>
  <c r="T3" i="11"/>
  <c r="T2" i="11"/>
  <c r="R3" i="11"/>
  <c r="O3" i="11"/>
  <c r="R2" i="11"/>
  <c r="O2" i="11"/>
  <c r="J3" i="11" l="1"/>
  <c r="I3" i="11"/>
  <c r="F3" i="11"/>
  <c r="E3" i="11"/>
  <c r="J2" i="11"/>
  <c r="I2" i="11"/>
  <c r="F2" i="11"/>
  <c r="E2" i="11"/>
</calcChain>
</file>

<file path=xl/sharedStrings.xml><?xml version="1.0" encoding="utf-8"?>
<sst xmlns="http://schemas.openxmlformats.org/spreadsheetml/2006/main" count="53" uniqueCount="32">
  <si>
    <t>team</t>
  </si>
  <si>
    <t>sprintId</t>
  </si>
  <si>
    <t>committed</t>
  </si>
  <si>
    <t>commDone</t>
  </si>
  <si>
    <t>added</t>
  </si>
  <si>
    <t>addedDone</t>
  </si>
  <si>
    <t>removed</t>
  </si>
  <si>
    <t>commNotDone</t>
  </si>
  <si>
    <t>addedNotDone</t>
  </si>
  <si>
    <t>comm%</t>
  </si>
  <si>
    <t>added%</t>
  </si>
  <si>
    <t>sprintName</t>
  </si>
  <si>
    <t>committedPoints</t>
  </si>
  <si>
    <t>removedPoints</t>
  </si>
  <si>
    <t>commDonePoints</t>
  </si>
  <si>
    <t>addedPoints</t>
  </si>
  <si>
    <t>addedDonePoints</t>
  </si>
  <si>
    <t>commNotDonePoints</t>
  </si>
  <si>
    <t>addedNotDonePoints</t>
  </si>
  <si>
    <t>commPoints%</t>
  </si>
  <si>
    <t>addedPoints%</t>
  </si>
  <si>
    <t>Kraftwerk</t>
  </si>
  <si>
    <t>2020 WK20</t>
  </si>
  <si>
    <t>2020 WK22</t>
  </si>
  <si>
    <t>2020 WK23</t>
  </si>
  <si>
    <t>2020 WK25</t>
  </si>
  <si>
    <t>2020 WK27</t>
  </si>
  <si>
    <t>2020 WK29</t>
  </si>
  <si>
    <t>2020 WK31</t>
  </si>
  <si>
    <t>2020 WK33</t>
  </si>
  <si>
    <t>2020 WK35</t>
  </si>
  <si>
    <t>2020 WK18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</si>
</sst>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1" applyFont="1"/>
    <xf numFmtId="0" fontId="2" fillId="0" borderId="0" xfId="0" applyFont="1"/>
    <xf numFmtId="0" fontId="0" fillId="2" borderId="0" xfId="0" applyFill="1"/>
    <xf numFmtId="0" fontId="0" fillId="3" borderId="0" xfId="0" applyFill="1"/>
    <xf numFmtId="0" fontId="2" fillId="2" borderId="0" xfId="0" applyFont="1" applyFill="1"/>
    <xf numFmtId="9" fontId="2" fillId="2" borderId="0" xfId="1" applyFont="1" applyFill="1"/>
    <xf numFmtId="0" fontId="2" fillId="3" borderId="0" xfId="0" applyFont="1" applyFill="1"/>
    <xf numFmtId="9" fontId="2" fillId="3" borderId="0" xfId="1" applyFont="1" applyFill="1"/>
    <xf numFmtId="0" fontId="0" fillId="4" borderId="0" xfId="0" applyFill="1"/>
    <xf numFmtId="0" fontId="2" fillId="4" borderId="0" xfId="0" applyFont="1" applyFill="1"/>
    <xf numFmtId="9" fontId="2" fillId="0" borderId="0" xfId="1" applyFont="1"/>
    <xf numFmtId="0" fontId="0" fillId="5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Added vs Removed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Kraftwerk!$G$1</c:f>
              <c:strCache>
                <c:ptCount val="1"/>
                <c:pt idx="0">
                  <c:v>added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Kraftwerk!$G$2:$G$11</c:f>
              <c:numCache>
                <c:formatCode>General</c:formatCode>
                <c:ptCount val="10"/>
                <c:pt idx="0">
                  <c:v>3</c:v>
                </c:pt>
                <c:pt idx="1">
                  <c:v>7</c:v>
                </c:pt>
                <c:pt idx="2">
                  <c:v>3</c:v>
                </c:pt>
                <c:pt idx="3">
                  <c:v>7</c:v>
                </c:pt>
                <c:pt idx="4">
                  <c:v>16</c:v>
                </c:pt>
                <c:pt idx="5">
                  <c:v>6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A-6440-938F-68C6312812B7}"/>
            </c:ext>
          </c:extLst>
        </c:ser>
        <c:ser>
          <c:idx val="5"/>
          <c:order val="1"/>
          <c:tx>
            <c:strRef>
              <c:f>Kraftwerk!$K$1</c:f>
              <c:strCache>
                <c:ptCount val="1"/>
                <c:pt idx="0">
                  <c:v>removed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A-6440-938F-68C6312812B7}"/>
            </c:ext>
          </c:extLst>
        </c:ser>
        <c:ser>
          <c:idx val="0"/>
          <c:order val="2"/>
          <c:tx>
            <c:strRef>
              <c:f>Kraftwerk!$L$1</c:f>
              <c:strCache>
                <c:ptCount val="1"/>
                <c:pt idx="0">
                  <c:v>removedPoints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Kraftwerk!$L$2:$L$11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9D-FA48-B9B8-0B9CACA2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02783"/>
        <c:axId val="237430447"/>
      </c:lineChart>
      <c:lineChart>
        <c:grouping val="standard"/>
        <c:varyColors val="0"/>
        <c:ser>
          <c:idx val="1"/>
          <c:order val="3"/>
          <c:tx>
            <c:strRef>
              <c:f>Kraftwerk!$P$1</c:f>
              <c:strCache>
                <c:ptCount val="1"/>
                <c:pt idx="0">
                  <c:v>addedPoints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Kraftwerk!$B$2:$B$10</c:f>
              <c:strCache>
                <c:ptCount val="9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</c:strCache>
            </c:strRef>
          </c:cat>
          <c:val>
            <c:numRef>
              <c:f>Kraftwerk!$P$2:$P$11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6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9D-FA48-B9B8-0B9CACA2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12944"/>
        <c:axId val="288456720"/>
      </c:lineChart>
      <c:catAx>
        <c:axId val="23740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0447"/>
        <c:crosses val="autoZero"/>
        <c:auto val="1"/>
        <c:lblAlgn val="ctr"/>
        <c:lblOffset val="100"/>
        <c:noMultiLvlLbl val="0"/>
      </c:catAx>
      <c:valAx>
        <c:axId val="23743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02783"/>
        <c:crosses val="autoZero"/>
        <c:crossBetween val="between"/>
      </c:valAx>
      <c:valAx>
        <c:axId val="288456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12944"/>
        <c:crosses val="max"/>
        <c:crossBetween val="between"/>
      </c:valAx>
      <c:catAx>
        <c:axId val="288812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845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Committed PBIs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Kraftwerk!$D$1</c:f>
              <c:strCache>
                <c:ptCount val="1"/>
                <c:pt idx="0">
                  <c:v>commDone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Kraftwerk!$D$2:$D$11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5</c:v>
                </c:pt>
                <c:pt idx="4">
                  <c:v>13</c:v>
                </c:pt>
                <c:pt idx="5">
                  <c:v>12</c:v>
                </c:pt>
                <c:pt idx="6">
                  <c:v>10</c:v>
                </c:pt>
                <c:pt idx="7">
                  <c:v>9</c:v>
                </c:pt>
                <c:pt idx="8">
                  <c:v>9</c:v>
                </c:pt>
                <c:pt idx="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E-314C-9876-F705AFCD5827}"/>
            </c:ext>
          </c:extLst>
        </c:ser>
        <c:ser>
          <c:idx val="1"/>
          <c:order val="1"/>
          <c:tx>
            <c:strRef>
              <c:f>Kraftwerk!$E$1</c:f>
              <c:strCache>
                <c:ptCount val="1"/>
                <c:pt idx="0">
                  <c:v>commNotDone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Kraftwerk!$E$2:$E$11</c:f>
              <c:numCache>
                <c:formatCode>General</c:formatCode>
                <c:ptCount val="10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9E-314C-9876-F705AFCD5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05615"/>
        <c:axId val="240407311"/>
      </c:areaChart>
      <c:catAx>
        <c:axId val="2404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7311"/>
        <c:crosses val="autoZero"/>
        <c:auto val="1"/>
        <c:lblAlgn val="ctr"/>
        <c:lblOffset val="100"/>
        <c:noMultiLvlLbl val="0"/>
      </c:catAx>
      <c:valAx>
        <c:axId val="240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5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Added PBIs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Kraftwerk!$H$1</c:f>
              <c:strCache>
                <c:ptCount val="1"/>
                <c:pt idx="0">
                  <c:v>addedDone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Kraftwerk!$H$2:$H$11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13</c:v>
                </c:pt>
                <c:pt idx="5">
                  <c:v>5</c:v>
                </c:pt>
                <c:pt idx="6">
                  <c:v>4</c:v>
                </c:pt>
                <c:pt idx="7">
                  <c:v>8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F-8543-BA79-435C41F43B35}"/>
            </c:ext>
          </c:extLst>
        </c:ser>
        <c:ser>
          <c:idx val="1"/>
          <c:order val="1"/>
          <c:tx>
            <c:strRef>
              <c:f>Kraftwerk!$I$1</c:f>
              <c:strCache>
                <c:ptCount val="1"/>
                <c:pt idx="0">
                  <c:v>addedNotDone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Kraftwerk!$I$2:$I$11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-2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8F-8543-BA79-435C41F4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37263"/>
        <c:axId val="238999039"/>
      </c:areaChart>
      <c:catAx>
        <c:axId val="238037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99039"/>
        <c:crosses val="autoZero"/>
        <c:auto val="1"/>
        <c:lblAlgn val="ctr"/>
        <c:lblOffset val="100"/>
        <c:noMultiLvlLbl val="0"/>
      </c:catAx>
      <c:valAx>
        <c:axId val="2389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37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Predictibility on Committed and Added PBIs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Kraftwerk!$F$1</c:f>
              <c:strCache>
                <c:ptCount val="1"/>
                <c:pt idx="0">
                  <c:v>comm%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Kraftwerk!$F$2:$F$11</c:f>
              <c:numCache>
                <c:formatCode>0%</c:formatCode>
                <c:ptCount val="10"/>
                <c:pt idx="0">
                  <c:v>0.61538461538461542</c:v>
                </c:pt>
                <c:pt idx="1">
                  <c:v>0.55555555555555558</c:v>
                </c:pt>
                <c:pt idx="2">
                  <c:v>0.61111111111111116</c:v>
                </c:pt>
                <c:pt idx="3">
                  <c:v>0.35714285714285715</c:v>
                </c:pt>
                <c:pt idx="4">
                  <c:v>0.59090909090909094</c:v>
                </c:pt>
                <c:pt idx="5">
                  <c:v>0.63157894736842102</c:v>
                </c:pt>
                <c:pt idx="6">
                  <c:v>0.55555555555555558</c:v>
                </c:pt>
                <c:pt idx="7">
                  <c:v>0.75</c:v>
                </c:pt>
                <c:pt idx="8">
                  <c:v>0.81818181818181823</c:v>
                </c:pt>
                <c:pt idx="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5C-144A-A39B-E62AAE510AE8}"/>
            </c:ext>
          </c:extLst>
        </c:ser>
        <c:ser>
          <c:idx val="3"/>
          <c:order val="1"/>
          <c:tx>
            <c:strRef>
              <c:f>Kraftwerk!$J$1</c:f>
              <c:strCache>
                <c:ptCount val="1"/>
                <c:pt idx="0">
                  <c:v>added%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Kraftwerk!$J$2:$J$11</c:f>
              <c:numCache>
                <c:formatCode>0%</c:formatCode>
                <c:ptCount val="10"/>
                <c:pt idx="0">
                  <c:v>0.66666666666666663</c:v>
                </c:pt>
                <c:pt idx="1">
                  <c:v>0.8571428571428571</c:v>
                </c:pt>
                <c:pt idx="2">
                  <c:v>1.6666666666666667</c:v>
                </c:pt>
                <c:pt idx="3">
                  <c:v>0.7142857142857143</c:v>
                </c:pt>
                <c:pt idx="4">
                  <c:v>0.8125</c:v>
                </c:pt>
                <c:pt idx="5">
                  <c:v>0.83333333333333337</c:v>
                </c:pt>
                <c:pt idx="6">
                  <c:v>1</c:v>
                </c:pt>
                <c:pt idx="7">
                  <c:v>1</c:v>
                </c:pt>
                <c:pt idx="8">
                  <c:v>0.75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5C-144A-A39B-E62AAE510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68959"/>
        <c:axId val="239031519"/>
      </c:lineChart>
      <c:catAx>
        <c:axId val="23836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31519"/>
        <c:crosses val="autoZero"/>
        <c:auto val="1"/>
        <c:lblAlgn val="ctr"/>
        <c:lblOffset val="100"/>
        <c:noMultiLvlLbl val="0"/>
      </c:catAx>
      <c:valAx>
        <c:axId val="23903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6895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Committed Points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Kraftwerk!$N$1</c:f>
              <c:strCache>
                <c:ptCount val="1"/>
                <c:pt idx="0">
                  <c:v>commDonePoints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Kraftwerk!$N$2:$N$11</c:f>
              <c:numCache>
                <c:formatCode>General</c:formatCode>
                <c:ptCount val="10"/>
                <c:pt idx="0">
                  <c:v>17</c:v>
                </c:pt>
                <c:pt idx="1">
                  <c:v>17</c:v>
                </c:pt>
                <c:pt idx="2">
                  <c:v>5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13</c:v>
                </c:pt>
                <c:pt idx="7">
                  <c:v>13</c:v>
                </c:pt>
                <c:pt idx="8">
                  <c:v>16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E-B74F-AD34-D89B2AD622EC}"/>
            </c:ext>
          </c:extLst>
        </c:ser>
        <c:ser>
          <c:idx val="1"/>
          <c:order val="1"/>
          <c:tx>
            <c:strRef>
              <c:f>Kraftwerk!$O$1</c:f>
              <c:strCache>
                <c:ptCount val="1"/>
                <c:pt idx="0">
                  <c:v>commNotDonePoints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Kraftwerk!$O$2:$O$11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E-B74F-AD34-D89B2AD6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05615"/>
        <c:axId val="240407311"/>
      </c:areaChart>
      <c:catAx>
        <c:axId val="2404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7311"/>
        <c:crosses val="autoZero"/>
        <c:auto val="1"/>
        <c:lblAlgn val="ctr"/>
        <c:lblOffset val="100"/>
        <c:noMultiLvlLbl val="0"/>
      </c:catAx>
      <c:valAx>
        <c:axId val="240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5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Added Points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Kraftwerk!$Q$1</c:f>
              <c:strCache>
                <c:ptCount val="1"/>
                <c:pt idx="0">
                  <c:v>addedDonePoints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Kraftwerk!$Q$2:$Q$11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6</c:v>
                </c:pt>
                <c:pt idx="7">
                  <c:v>11</c:v>
                </c:pt>
                <c:pt idx="8">
                  <c:v>7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F-4D4A-9C3D-B5BEDB568BBB}"/>
            </c:ext>
          </c:extLst>
        </c:ser>
        <c:ser>
          <c:idx val="1"/>
          <c:order val="1"/>
          <c:tx>
            <c:strRef>
              <c:f>Kraftwerk!$R$1</c:f>
              <c:strCache>
                <c:ptCount val="1"/>
                <c:pt idx="0">
                  <c:v>addedNotDonePoints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Kraftwerk!$R$2:$R$11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FF-4D4A-9C3D-B5BEDB568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37263"/>
        <c:axId val="238999039"/>
      </c:areaChart>
      <c:catAx>
        <c:axId val="238037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99039"/>
        <c:crosses val="autoZero"/>
        <c:auto val="1"/>
        <c:lblAlgn val="ctr"/>
        <c:lblOffset val="100"/>
        <c:noMultiLvlLbl val="0"/>
      </c:catAx>
      <c:valAx>
        <c:axId val="2389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37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Predictibility on Committed and Added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Kraftwerk!$S$1</c:f>
              <c:strCache>
                <c:ptCount val="1"/>
                <c:pt idx="0">
                  <c:v>commPoints%</c:v>
                </c:pt>
              </c:strCache>
            </c:strRef>
          </c:tx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Kraftwerk!$S$2:$S$11</c:f>
              <c:numCache>
                <c:formatCode>0%</c:formatCode>
                <c:ptCount val="10"/>
                <c:pt idx="0">
                  <c:v>0.94444444444444442</c:v>
                </c:pt>
                <c:pt idx="1">
                  <c:v>0.89473684210526316</c:v>
                </c:pt>
                <c:pt idx="2">
                  <c:v>0.45454545454545453</c:v>
                </c:pt>
                <c:pt idx="3">
                  <c:v>0.53333333333333333</c:v>
                </c:pt>
                <c:pt idx="4">
                  <c:v>0.92307692307692313</c:v>
                </c:pt>
                <c:pt idx="5">
                  <c:v>0.88888888888888884</c:v>
                </c:pt>
                <c:pt idx="6">
                  <c:v>0.72222222222222221</c:v>
                </c:pt>
                <c:pt idx="7">
                  <c:v>0.72222222222222221</c:v>
                </c:pt>
                <c:pt idx="8">
                  <c:v>0.84210526315789469</c:v>
                </c:pt>
                <c:pt idx="9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A8-A445-A2B3-EAF42FCAF584}"/>
            </c:ext>
          </c:extLst>
        </c:ser>
        <c:ser>
          <c:idx val="1"/>
          <c:order val="1"/>
          <c:tx>
            <c:strRef>
              <c:f>Kraftwerk!$T$1</c:f>
              <c:strCache>
                <c:ptCount val="1"/>
                <c:pt idx="0">
                  <c:v>addedPoints%</c:v>
                </c:pt>
              </c:strCache>
            </c:strRef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Kraftwerk!$T$2:$T$11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0.8571428571428571</c:v>
                </c:pt>
                <c:pt idx="3">
                  <c:v>0.5</c:v>
                </c:pt>
                <c:pt idx="4">
                  <c:v>0.625</c:v>
                </c:pt>
                <c:pt idx="5">
                  <c:v>0.5</c:v>
                </c:pt>
                <c:pt idx="6">
                  <c:v>1</c:v>
                </c:pt>
                <c:pt idx="7">
                  <c:v>0.84615384615384615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A8-A445-A2B3-EAF42FCAF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68959"/>
        <c:axId val="239031519"/>
      </c:lineChart>
      <c:catAx>
        <c:axId val="23836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31519"/>
        <c:crosses val="autoZero"/>
        <c:auto val="1"/>
        <c:lblAlgn val="ctr"/>
        <c:lblOffset val="100"/>
        <c:noMultiLvlLbl val="0"/>
      </c:catAx>
      <c:valAx>
        <c:axId val="23903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6895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501073</xdr:colOff>
      <xdr:row>44</xdr:row>
      <xdr:rowOff>182995</xdr:rowOff>
    </xdr:from>
    <xdr:to>
      <xdr:col>17</xdr:col>
      <xdr:colOff>424873</xdr:colOff>
      <xdr:row>58</xdr:row>
      <xdr:rowOff>76776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B1AD20-5995-1640-86CA-FF5020D3D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268431</xdr:colOff>
      <xdr:row>13</xdr:row>
      <xdr:rowOff>126423</xdr:rowOff>
    </xdr:from>
    <xdr:to>
      <xdr:col>6</xdr:col>
      <xdr:colOff>801831</xdr:colOff>
      <xdr:row>27</xdr:row>
      <xdr:rowOff>20204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69BA46-C227-4F44-97AF-E0FDA92AA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210705</xdr:colOff>
      <xdr:row>28</xdr:row>
      <xdr:rowOff>91787</xdr:rowOff>
    </xdr:from>
    <xdr:to>
      <xdr:col>6</xdr:col>
      <xdr:colOff>744105</xdr:colOff>
      <xdr:row>41</xdr:row>
      <xdr:rowOff>193387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C6B562-CD4D-2D4C-B37C-FA3FD1F33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522431</xdr:colOff>
      <xdr:row>13</xdr:row>
      <xdr:rowOff>172605</xdr:rowOff>
    </xdr:from>
    <xdr:to>
      <xdr:col>17</xdr:col>
      <xdr:colOff>446231</xdr:colOff>
      <xdr:row>27</xdr:row>
      <xdr:rowOff>66386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6FC9494-3FA1-6141-9C4B-327F9654B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70427</xdr:colOff>
      <xdr:row>13</xdr:row>
      <xdr:rowOff>109682</xdr:rowOff>
    </xdr:from>
    <xdr:to>
      <xdr:col>13</xdr:col>
      <xdr:colOff>273627</xdr:colOff>
      <xdr:row>27</xdr:row>
      <xdr:rowOff>3463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318464-8187-4B44-BA78-88D02FB03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24246</xdr:colOff>
      <xdr:row>27</xdr:row>
      <xdr:rowOff>178955</xdr:rowOff>
    </xdr:from>
    <xdr:to>
      <xdr:col>13</xdr:col>
      <xdr:colOff>227446</xdr:colOff>
      <xdr:row>41</xdr:row>
      <xdr:rowOff>72737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02118E-0E7D-9545-867B-83138C902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569191</xdr:colOff>
      <xdr:row>28</xdr:row>
      <xdr:rowOff>125846</xdr:rowOff>
    </xdr:from>
    <xdr:to>
      <xdr:col>17</xdr:col>
      <xdr:colOff>492991</xdr:colOff>
      <xdr:row>42</xdr:row>
      <xdr:rowOff>24245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E86E5E4-C1B2-CF47-ABC4-9DAD7E611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C1E5D-F954-9B43-8024-D5A8F37C2E73}">
  <sheetPr codeName="Sheet8">
    <tabColor rgb="FF00B0F0"/>
  </sheetPr>
  <dimension ref="A1:V55"/>
  <sheetViews>
    <sheetView tabSelected="1" zoomScale="110" zoomScaleNormal="110" workbookViewId="0">
      <selection activeCell="F5" sqref="F5"/>
    </sheetView>
  </sheetViews>
  <sheetFormatPr baseColWidth="10" defaultRowHeight="16" x14ac:dyDescent="0.2"/>
  <cols>
    <col min="13" max="13" width="15.1640625" bestFit="1" customWidth="1"/>
    <col min="14" max="14" width="15.5" bestFit="1" customWidth="1"/>
    <col min="15" max="15" width="19" bestFit="1" customWidth="1"/>
    <col min="16" max="16" width="11.1640625" bestFit="1" customWidth="1"/>
    <col min="17" max="17" width="15.33203125" bestFit="1" customWidth="1"/>
    <col min="18" max="18" width="19.1640625" bestFit="1" customWidth="1"/>
    <col min="19" max="19" width="15.5" style="1" bestFit="1" customWidth="1"/>
    <col min="20" max="20" width="10.83203125" style="1"/>
  </cols>
  <sheetData>
    <row r="1" spans="1:20" x14ac:dyDescent="0.2">
      <c r="A1" s="3" t="s">
        <v>0</v>
      </c>
      <c r="B1" s="3" t="s">
        <v>1</v>
      </c>
      <c r="C1" s="3" t="s">
        <v>2</v>
      </c>
      <c r="D1" s="3" t="s">
        <v>3</v>
      </c>
      <c r="E1" s="5" t="s">
        <v>7</v>
      </c>
      <c r="F1" s="5" t="s">
        <v>9</v>
      </c>
      <c r="G1" s="4" t="s">
        <v>4</v>
      </c>
      <c r="H1" s="4" t="s">
        <v>5</v>
      </c>
      <c r="I1" s="7" t="s">
        <v>8</v>
      </c>
      <c r="J1" s="7" t="s">
        <v>10</v>
      </c>
      <c r="K1" s="3" t="s">
        <v>6</v>
      </c>
      <c r="L1" s="3" t="s">
        <v>13</v>
      </c>
      <c r="M1" s="9" t="s">
        <v>12</v>
      </c>
      <c r="N1" s="9" t="s">
        <v>14</v>
      </c>
      <c r="O1" s="10" t="s">
        <v>17</v>
      </c>
      <c r="P1" s="9" t="s">
        <v>15</v>
      </c>
      <c r="Q1" s="9" t="s">
        <v>16</v>
      </c>
      <c r="R1" s="10" t="s">
        <v>18</v>
      </c>
      <c r="S1" s="1" t="s">
        <v>19</v>
      </c>
      <c r="T1" s="1" t="s">
        <v>20</v>
      </c>
    </row>
    <row r="2" spans="1:20" x14ac:dyDescent="0.2">
      <c r="A2" s="3" t="str">
        <f>A46</f>
        <v>Kraftwerk</v>
      </c>
      <c r="B2" s="3" t="str">
        <f>C46</f>
        <v>2020 WK18</v>
      </c>
      <c r="C2">
        <f t="shared" ref="C2:C11" si="0">D46</f>
        <v>13</v>
      </c>
      <c r="D2">
        <f t="shared" ref="D2:D11" si="1">F46</f>
        <v>8</v>
      </c>
      <c r="E2" s="5">
        <f t="shared" ref="E2:E11" si="2">C2-D2</f>
        <v>5</v>
      </c>
      <c r="F2" s="6">
        <f t="shared" ref="F2:F11" si="3">D2/C2</f>
        <v>0.61538461538461542</v>
      </c>
      <c r="G2">
        <f t="shared" ref="G2:G11" si="4">H46</f>
        <v>3</v>
      </c>
      <c r="H2">
        <f t="shared" ref="H2:H11" si="5">J46</f>
        <v>2</v>
      </c>
      <c r="I2" s="7">
        <f t="shared" ref="I2:I11" si="6">G2-H2</f>
        <v>1</v>
      </c>
      <c r="J2" s="8">
        <f t="shared" ref="J2:J11" si="7">H2/G2</f>
        <v>0.66666666666666663</v>
      </c>
      <c r="K2">
        <f t="shared" ref="K2:L4" si="8">L46</f>
        <v>0</v>
      </c>
      <c r="L2">
        <f t="shared" si="8"/>
        <v>0</v>
      </c>
      <c r="M2">
        <f t="shared" ref="M2:M11" si="9">E46</f>
        <v>18</v>
      </c>
      <c r="N2">
        <f t="shared" ref="N2:N11" si="10">G46</f>
        <v>17</v>
      </c>
      <c r="O2" s="10">
        <f t="shared" ref="O2:O11" si="11">M2-N2</f>
        <v>1</v>
      </c>
      <c r="P2">
        <f t="shared" ref="P2:P11" si="12">I46</f>
        <v>4</v>
      </c>
      <c r="Q2">
        <f t="shared" ref="Q2:Q11" si="13">K46</f>
        <v>4</v>
      </c>
      <c r="R2" s="10">
        <f t="shared" ref="R2:R11" si="14">P2-Q2</f>
        <v>0</v>
      </c>
      <c r="S2" s="1">
        <f t="shared" ref="S2:S11" si="15">N2/M2</f>
        <v>0.94444444444444442</v>
      </c>
      <c r="T2" s="1">
        <f t="shared" ref="T2:T11" si="16">Q2/P2</f>
        <v>1</v>
      </c>
    </row>
    <row r="3" spans="1:20" x14ac:dyDescent="0.2">
      <c r="A3" s="3" t="str">
        <f>A47</f>
        <v>Kraftwerk</v>
      </c>
      <c r="B3" s="3" t="str">
        <f t="shared" ref="B3:B11" si="17">C47</f>
        <v>2020 WK20</v>
      </c>
      <c r="C3">
        <f t="shared" si="0"/>
        <v>18</v>
      </c>
      <c r="D3">
        <f t="shared" si="1"/>
        <v>10</v>
      </c>
      <c r="E3" s="5">
        <f t="shared" si="2"/>
        <v>8</v>
      </c>
      <c r="F3" s="6">
        <f t="shared" si="3"/>
        <v>0.55555555555555558</v>
      </c>
      <c r="G3">
        <f t="shared" si="4"/>
        <v>7</v>
      </c>
      <c r="H3">
        <f t="shared" si="5"/>
        <v>6</v>
      </c>
      <c r="I3" s="7">
        <f t="shared" si="6"/>
        <v>1</v>
      </c>
      <c r="J3" s="8">
        <f t="shared" si="7"/>
        <v>0.8571428571428571</v>
      </c>
      <c r="K3">
        <f t="shared" si="8"/>
        <v>1</v>
      </c>
      <c r="L3">
        <f t="shared" si="8"/>
        <v>3</v>
      </c>
      <c r="M3">
        <f t="shared" si="9"/>
        <v>19</v>
      </c>
      <c r="N3">
        <f t="shared" si="10"/>
        <v>17</v>
      </c>
      <c r="O3" s="10">
        <f t="shared" si="11"/>
        <v>2</v>
      </c>
      <c r="P3">
        <f t="shared" si="12"/>
        <v>4</v>
      </c>
      <c r="Q3">
        <f t="shared" si="13"/>
        <v>4</v>
      </c>
      <c r="R3" s="10">
        <f t="shared" si="14"/>
        <v>0</v>
      </c>
      <c r="S3" s="1">
        <f t="shared" si="15"/>
        <v>0.89473684210526316</v>
      </c>
      <c r="T3" s="1">
        <f t="shared" si="16"/>
        <v>1</v>
      </c>
    </row>
    <row r="4" spans="1:20" x14ac:dyDescent="0.2">
      <c r="A4" s="3" t="str">
        <f t="shared" ref="A4:A11" si="18">A48</f>
        <v>Kraftwerk</v>
      </c>
      <c r="B4" s="3" t="str">
        <f t="shared" si="17"/>
        <v>2020 WK22</v>
      </c>
      <c r="C4">
        <f t="shared" si="0"/>
        <v>18</v>
      </c>
      <c r="D4">
        <f t="shared" si="1"/>
        <v>11</v>
      </c>
      <c r="E4" s="5">
        <f t="shared" si="2"/>
        <v>7</v>
      </c>
      <c r="F4" s="6">
        <f t="shared" si="3"/>
        <v>0.61111111111111116</v>
      </c>
      <c r="G4">
        <f t="shared" si="4"/>
        <v>3</v>
      </c>
      <c r="H4">
        <f t="shared" si="5"/>
        <v>5</v>
      </c>
      <c r="I4" s="7">
        <f t="shared" si="6"/>
        <v>-2</v>
      </c>
      <c r="J4" s="8">
        <f t="shared" si="7"/>
        <v>1.6666666666666667</v>
      </c>
      <c r="K4">
        <f t="shared" si="8"/>
        <v>0</v>
      </c>
      <c r="L4">
        <f t="shared" si="8"/>
        <v>0</v>
      </c>
      <c r="M4">
        <f t="shared" si="9"/>
        <v>11</v>
      </c>
      <c r="N4">
        <f t="shared" si="10"/>
        <v>5</v>
      </c>
      <c r="O4" s="10">
        <f t="shared" si="11"/>
        <v>6</v>
      </c>
      <c r="P4">
        <f t="shared" si="12"/>
        <v>7</v>
      </c>
      <c r="Q4">
        <f t="shared" si="13"/>
        <v>6</v>
      </c>
      <c r="R4" s="10">
        <f t="shared" si="14"/>
        <v>1</v>
      </c>
      <c r="S4" s="1">
        <f t="shared" si="15"/>
        <v>0.45454545454545453</v>
      </c>
      <c r="T4" s="1">
        <f t="shared" si="16"/>
        <v>0.8571428571428571</v>
      </c>
    </row>
    <row r="5" spans="1:20" x14ac:dyDescent="0.2">
      <c r="A5" s="3" t="str">
        <f t="shared" si="18"/>
        <v>Kraftwerk</v>
      </c>
      <c r="B5" s="3" t="str">
        <f t="shared" si="17"/>
        <v>2020 WK23</v>
      </c>
      <c r="C5">
        <f t="shared" si="0"/>
        <v>14</v>
      </c>
      <c r="D5">
        <f t="shared" si="1"/>
        <v>5</v>
      </c>
      <c r="E5" s="5">
        <f t="shared" si="2"/>
        <v>9</v>
      </c>
      <c r="F5" s="6">
        <f t="shared" si="3"/>
        <v>0.35714285714285715</v>
      </c>
      <c r="G5">
        <f t="shared" si="4"/>
        <v>7</v>
      </c>
      <c r="H5">
        <f t="shared" si="5"/>
        <v>5</v>
      </c>
      <c r="I5" s="7">
        <f t="shared" si="6"/>
        <v>2</v>
      </c>
      <c r="J5" s="8">
        <f t="shared" si="7"/>
        <v>0.7142857142857143</v>
      </c>
      <c r="K5">
        <f t="shared" ref="K5:L11" si="19">L49</f>
        <v>1</v>
      </c>
      <c r="L5">
        <f t="shared" si="19"/>
        <v>2</v>
      </c>
      <c r="M5">
        <f t="shared" si="9"/>
        <v>15</v>
      </c>
      <c r="N5">
        <f t="shared" si="10"/>
        <v>8</v>
      </c>
      <c r="O5" s="10">
        <f t="shared" si="11"/>
        <v>7</v>
      </c>
      <c r="P5">
        <f t="shared" si="12"/>
        <v>4</v>
      </c>
      <c r="Q5">
        <f t="shared" si="13"/>
        <v>2</v>
      </c>
      <c r="R5" s="10">
        <f t="shared" si="14"/>
        <v>2</v>
      </c>
      <c r="S5" s="1">
        <f t="shared" si="15"/>
        <v>0.53333333333333333</v>
      </c>
      <c r="T5" s="1">
        <f t="shared" si="16"/>
        <v>0.5</v>
      </c>
    </row>
    <row r="6" spans="1:20" x14ac:dyDescent="0.2">
      <c r="A6" s="3" t="str">
        <f t="shared" si="18"/>
        <v>Kraftwerk</v>
      </c>
      <c r="B6" s="3" t="str">
        <f t="shared" si="17"/>
        <v>2020 WK25</v>
      </c>
      <c r="C6">
        <f t="shared" si="0"/>
        <v>22</v>
      </c>
      <c r="D6">
        <f t="shared" si="1"/>
        <v>13</v>
      </c>
      <c r="E6" s="5">
        <f t="shared" si="2"/>
        <v>9</v>
      </c>
      <c r="F6" s="6">
        <f t="shared" si="3"/>
        <v>0.59090909090909094</v>
      </c>
      <c r="G6">
        <f t="shared" si="4"/>
        <v>16</v>
      </c>
      <c r="H6">
        <f t="shared" si="5"/>
        <v>13</v>
      </c>
      <c r="I6" s="7">
        <f t="shared" si="6"/>
        <v>3</v>
      </c>
      <c r="J6" s="8">
        <f t="shared" si="7"/>
        <v>0.8125</v>
      </c>
      <c r="K6">
        <f t="shared" si="19"/>
        <v>0</v>
      </c>
      <c r="L6">
        <f t="shared" si="19"/>
        <v>0</v>
      </c>
      <c r="M6">
        <f t="shared" si="9"/>
        <v>13</v>
      </c>
      <c r="N6">
        <f t="shared" si="10"/>
        <v>12</v>
      </c>
      <c r="O6" s="10">
        <f t="shared" si="11"/>
        <v>1</v>
      </c>
      <c r="P6">
        <f t="shared" si="12"/>
        <v>8</v>
      </c>
      <c r="Q6">
        <f t="shared" si="13"/>
        <v>5</v>
      </c>
      <c r="R6" s="10">
        <f t="shared" si="14"/>
        <v>3</v>
      </c>
      <c r="S6" s="1">
        <f t="shared" si="15"/>
        <v>0.92307692307692313</v>
      </c>
      <c r="T6" s="1">
        <f t="shared" si="16"/>
        <v>0.625</v>
      </c>
    </row>
    <row r="7" spans="1:20" x14ac:dyDescent="0.2">
      <c r="A7" s="3" t="str">
        <f t="shared" si="18"/>
        <v>Kraftwerk</v>
      </c>
      <c r="B7" s="3" t="str">
        <f t="shared" si="17"/>
        <v>2020 WK27</v>
      </c>
      <c r="C7">
        <f t="shared" si="0"/>
        <v>19</v>
      </c>
      <c r="D7">
        <f t="shared" si="1"/>
        <v>12</v>
      </c>
      <c r="E7" s="5">
        <f t="shared" si="2"/>
        <v>7</v>
      </c>
      <c r="F7" s="6">
        <f t="shared" si="3"/>
        <v>0.63157894736842102</v>
      </c>
      <c r="G7">
        <f t="shared" si="4"/>
        <v>6</v>
      </c>
      <c r="H7">
        <f t="shared" si="5"/>
        <v>5</v>
      </c>
      <c r="I7" s="7">
        <f t="shared" si="6"/>
        <v>1</v>
      </c>
      <c r="J7" s="8">
        <f t="shared" si="7"/>
        <v>0.83333333333333337</v>
      </c>
      <c r="K7">
        <f t="shared" si="19"/>
        <v>0</v>
      </c>
      <c r="L7">
        <f t="shared" si="19"/>
        <v>0</v>
      </c>
      <c r="M7">
        <f t="shared" si="9"/>
        <v>18</v>
      </c>
      <c r="N7">
        <f t="shared" si="10"/>
        <v>16</v>
      </c>
      <c r="O7" s="10">
        <f t="shared" si="11"/>
        <v>2</v>
      </c>
      <c r="P7">
        <f t="shared" si="12"/>
        <v>2</v>
      </c>
      <c r="Q7">
        <f t="shared" si="13"/>
        <v>1</v>
      </c>
      <c r="R7" s="10">
        <f t="shared" si="14"/>
        <v>1</v>
      </c>
      <c r="S7" s="1">
        <f t="shared" si="15"/>
        <v>0.88888888888888884</v>
      </c>
      <c r="T7" s="1">
        <f t="shared" si="16"/>
        <v>0.5</v>
      </c>
    </row>
    <row r="8" spans="1:20" x14ac:dyDescent="0.2">
      <c r="A8" s="3" t="str">
        <f t="shared" si="18"/>
        <v>Kraftwerk</v>
      </c>
      <c r="B8" s="3" t="str">
        <f t="shared" si="17"/>
        <v>2020 WK29</v>
      </c>
      <c r="C8">
        <f t="shared" si="0"/>
        <v>18</v>
      </c>
      <c r="D8">
        <f t="shared" si="1"/>
        <v>10</v>
      </c>
      <c r="E8" s="5">
        <f t="shared" si="2"/>
        <v>8</v>
      </c>
      <c r="F8" s="6">
        <f t="shared" si="3"/>
        <v>0.55555555555555558</v>
      </c>
      <c r="G8">
        <f t="shared" si="4"/>
        <v>4</v>
      </c>
      <c r="H8">
        <f t="shared" si="5"/>
        <v>4</v>
      </c>
      <c r="I8" s="7">
        <f t="shared" si="6"/>
        <v>0</v>
      </c>
      <c r="J8" s="8">
        <f t="shared" si="7"/>
        <v>1</v>
      </c>
      <c r="K8">
        <f t="shared" si="19"/>
        <v>1</v>
      </c>
      <c r="L8">
        <f t="shared" si="19"/>
        <v>2</v>
      </c>
      <c r="M8">
        <f t="shared" si="9"/>
        <v>18</v>
      </c>
      <c r="N8">
        <f t="shared" si="10"/>
        <v>13</v>
      </c>
      <c r="O8" s="10">
        <f t="shared" si="11"/>
        <v>5</v>
      </c>
      <c r="P8">
        <f t="shared" si="12"/>
        <v>6</v>
      </c>
      <c r="Q8">
        <f t="shared" si="13"/>
        <v>6</v>
      </c>
      <c r="R8" s="10">
        <f t="shared" si="14"/>
        <v>0</v>
      </c>
      <c r="S8" s="1">
        <f t="shared" si="15"/>
        <v>0.72222222222222221</v>
      </c>
      <c r="T8" s="1">
        <f t="shared" si="16"/>
        <v>1</v>
      </c>
    </row>
    <row r="9" spans="1:20" x14ac:dyDescent="0.2">
      <c r="A9" s="3" t="str">
        <f t="shared" si="18"/>
        <v>Kraftwerk</v>
      </c>
      <c r="B9" s="3" t="str">
        <f t="shared" si="17"/>
        <v>2020 WK31</v>
      </c>
      <c r="C9">
        <f t="shared" si="0"/>
        <v>12</v>
      </c>
      <c r="D9">
        <f t="shared" si="1"/>
        <v>9</v>
      </c>
      <c r="E9" s="5">
        <f t="shared" si="2"/>
        <v>3</v>
      </c>
      <c r="F9" s="6">
        <f t="shared" si="3"/>
        <v>0.75</v>
      </c>
      <c r="G9">
        <f t="shared" si="4"/>
        <v>8</v>
      </c>
      <c r="H9">
        <f t="shared" si="5"/>
        <v>8</v>
      </c>
      <c r="I9" s="7">
        <f t="shared" si="6"/>
        <v>0</v>
      </c>
      <c r="J9" s="8">
        <f t="shared" si="7"/>
        <v>1</v>
      </c>
      <c r="K9">
        <f t="shared" si="19"/>
        <v>1</v>
      </c>
      <c r="L9">
        <f t="shared" si="19"/>
        <v>0</v>
      </c>
      <c r="M9">
        <f t="shared" si="9"/>
        <v>18</v>
      </c>
      <c r="N9">
        <f t="shared" si="10"/>
        <v>13</v>
      </c>
      <c r="O9" s="10">
        <f t="shared" si="11"/>
        <v>5</v>
      </c>
      <c r="P9">
        <f t="shared" si="12"/>
        <v>13</v>
      </c>
      <c r="Q9">
        <f t="shared" si="13"/>
        <v>11</v>
      </c>
      <c r="R9" s="10">
        <f t="shared" si="14"/>
        <v>2</v>
      </c>
      <c r="S9" s="1">
        <f t="shared" si="15"/>
        <v>0.72222222222222221</v>
      </c>
      <c r="T9" s="1">
        <f t="shared" si="16"/>
        <v>0.84615384615384615</v>
      </c>
    </row>
    <row r="10" spans="1:20" x14ac:dyDescent="0.2">
      <c r="A10" s="3" t="str">
        <f t="shared" si="18"/>
        <v>Kraftwerk</v>
      </c>
      <c r="B10" s="3" t="str">
        <f t="shared" si="17"/>
        <v>2020 WK33</v>
      </c>
      <c r="C10">
        <f t="shared" si="0"/>
        <v>11</v>
      </c>
      <c r="D10">
        <f t="shared" si="1"/>
        <v>9</v>
      </c>
      <c r="E10" s="5">
        <f t="shared" si="2"/>
        <v>2</v>
      </c>
      <c r="F10" s="6">
        <f t="shared" si="3"/>
        <v>0.81818181818181823</v>
      </c>
      <c r="G10">
        <f t="shared" si="4"/>
        <v>4</v>
      </c>
      <c r="H10">
        <f t="shared" si="5"/>
        <v>3</v>
      </c>
      <c r="I10" s="7">
        <f t="shared" si="6"/>
        <v>1</v>
      </c>
      <c r="J10" s="8">
        <f t="shared" si="7"/>
        <v>0.75</v>
      </c>
      <c r="K10">
        <f t="shared" si="19"/>
        <v>1</v>
      </c>
      <c r="L10">
        <f t="shared" si="19"/>
        <v>2</v>
      </c>
      <c r="M10">
        <f t="shared" si="9"/>
        <v>19</v>
      </c>
      <c r="N10">
        <f t="shared" si="10"/>
        <v>16</v>
      </c>
      <c r="O10" s="10">
        <f t="shared" si="11"/>
        <v>3</v>
      </c>
      <c r="P10">
        <f t="shared" si="12"/>
        <v>7</v>
      </c>
      <c r="Q10">
        <f t="shared" si="13"/>
        <v>7</v>
      </c>
      <c r="R10" s="10">
        <f t="shared" si="14"/>
        <v>0</v>
      </c>
      <c r="S10" s="1">
        <f t="shared" si="15"/>
        <v>0.84210526315789469</v>
      </c>
      <c r="T10" s="1">
        <f t="shared" si="16"/>
        <v>1</v>
      </c>
    </row>
    <row r="11" spans="1:20" x14ac:dyDescent="0.2">
      <c r="A11" s="3" t="str">
        <f t="shared" si="18"/>
        <v>Kraftwerk</v>
      </c>
      <c r="B11" s="3" t="str">
        <f t="shared" si="17"/>
        <v>2020 WK35</v>
      </c>
      <c r="C11">
        <f t="shared" si="0"/>
        <v>16</v>
      </c>
      <c r="D11">
        <f t="shared" si="1"/>
        <v>12</v>
      </c>
      <c r="E11" s="5">
        <f t="shared" si="2"/>
        <v>4</v>
      </c>
      <c r="F11" s="6">
        <f t="shared" si="3"/>
        <v>0.75</v>
      </c>
      <c r="G11">
        <f t="shared" si="4"/>
        <v>6</v>
      </c>
      <c r="H11">
        <f t="shared" si="5"/>
        <v>0</v>
      </c>
      <c r="I11" s="7">
        <f t="shared" si="6"/>
        <v>6</v>
      </c>
      <c r="J11" s="8">
        <f t="shared" si="7"/>
        <v>0</v>
      </c>
      <c r="K11">
        <f t="shared" si="19"/>
        <v>2</v>
      </c>
      <c r="L11">
        <f t="shared" si="19"/>
        <v>0</v>
      </c>
      <c r="M11">
        <f t="shared" si="9"/>
        <v>12</v>
      </c>
      <c r="N11">
        <f t="shared" si="10"/>
        <v>10</v>
      </c>
      <c r="O11" s="10">
        <f t="shared" si="11"/>
        <v>2</v>
      </c>
      <c r="P11">
        <f t="shared" si="12"/>
        <v>1</v>
      </c>
      <c r="Q11">
        <f t="shared" si="13"/>
        <v>0</v>
      </c>
      <c r="R11" s="10">
        <f t="shared" si="14"/>
        <v>1</v>
      </c>
      <c r="S11" s="1">
        <f t="shared" si="15"/>
        <v>0.83333333333333337</v>
      </c>
      <c r="T11" s="1">
        <f t="shared" si="16"/>
        <v>0</v>
      </c>
    </row>
    <row r="32" spans="19:22" x14ac:dyDescent="0.2">
      <c r="S32" s="11"/>
      <c r="V32" s="2"/>
    </row>
    <row r="33" spans="1:22" x14ac:dyDescent="0.2">
      <c r="S33" s="11"/>
      <c r="V33" s="2"/>
    </row>
    <row r="34" spans="1:22" x14ac:dyDescent="0.2">
      <c r="S34" s="11"/>
      <c r="V34" s="2"/>
    </row>
    <row r="45" spans="1:22" x14ac:dyDescent="0.2">
      <c r="A45" s="12" t="s">
        <v>0</v>
      </c>
      <c r="B45" s="12" t="s">
        <v>1</v>
      </c>
      <c r="C45" s="12" t="s">
        <v>11</v>
      </c>
      <c r="D45" s="12" t="s">
        <v>2</v>
      </c>
      <c r="E45" s="12" t="s">
        <v>12</v>
      </c>
      <c r="F45" s="12" t="s">
        <v>3</v>
      </c>
      <c r="G45" s="12" t="s">
        <v>14</v>
      </c>
      <c r="H45" s="12" t="s">
        <v>4</v>
      </c>
      <c r="I45" s="12" t="s">
        <v>15</v>
      </c>
      <c r="J45" s="12" t="s">
        <v>5</v>
      </c>
      <c r="K45" s="12" t="s">
        <v>16</v>
      </c>
      <c r="L45" s="12" t="s">
        <v>6</v>
      </c>
      <c r="M45" s="12" t="s">
        <v>13</v>
      </c>
    </row>
    <row r="46" spans="1:22" x14ac:dyDescent="0.2">
      <c r="A46" s="12" t="s">
        <v>21</v>
      </c>
      <c r="B46" s="12">
        <v>58550</v>
      </c>
      <c r="C46" s="12" t="s">
        <v>31</v>
      </c>
      <c r="D46" s="12">
        <v>13</v>
      </c>
      <c r="E46" s="12">
        <v>18</v>
      </c>
      <c r="F46" s="12">
        <v>8</v>
      </c>
      <c r="G46" s="12">
        <v>17</v>
      </c>
      <c r="H46" s="12">
        <v>3</v>
      </c>
      <c r="I46" s="12">
        <v>4</v>
      </c>
      <c r="J46" s="12">
        <v>2</v>
      </c>
      <c r="K46" s="12">
        <v>4</v>
      </c>
      <c r="L46" s="12">
        <v>0</v>
      </c>
      <c r="M46" s="12">
        <v>0</v>
      </c>
    </row>
    <row r="47" spans="1:22" x14ac:dyDescent="0.2">
      <c r="A47" s="12" t="s">
        <v>21</v>
      </c>
      <c r="B47" s="12">
        <v>58550</v>
      </c>
      <c r="C47" s="12" t="s">
        <v>22</v>
      </c>
      <c r="D47" s="12">
        <v>18</v>
      </c>
      <c r="E47" s="12">
        <v>19</v>
      </c>
      <c r="F47" s="12">
        <v>10</v>
      </c>
      <c r="G47" s="12">
        <v>17</v>
      </c>
      <c r="H47" s="12">
        <v>7</v>
      </c>
      <c r="I47" s="12">
        <v>4</v>
      </c>
      <c r="J47" s="12">
        <v>6</v>
      </c>
      <c r="K47" s="12">
        <v>4</v>
      </c>
      <c r="L47" s="12">
        <v>1</v>
      </c>
      <c r="M47" s="12">
        <v>3</v>
      </c>
    </row>
    <row r="48" spans="1:22" x14ac:dyDescent="0.2">
      <c r="A48" s="12" t="s">
        <v>21</v>
      </c>
      <c r="B48" s="12">
        <v>58551</v>
      </c>
      <c r="C48" s="12" t="s">
        <v>23</v>
      </c>
      <c r="D48" s="12">
        <v>18</v>
      </c>
      <c r="E48" s="12">
        <v>11</v>
      </c>
      <c r="F48" s="12">
        <v>11</v>
      </c>
      <c r="G48" s="12">
        <v>5</v>
      </c>
      <c r="H48" s="12">
        <v>3</v>
      </c>
      <c r="I48" s="12">
        <v>7</v>
      </c>
      <c r="J48" s="12">
        <v>5</v>
      </c>
      <c r="K48" s="12">
        <v>6</v>
      </c>
      <c r="L48" s="12">
        <v>0</v>
      </c>
      <c r="M48" s="12">
        <v>0</v>
      </c>
    </row>
    <row r="49" spans="1:13" x14ac:dyDescent="0.2">
      <c r="A49" s="12" t="s">
        <v>21</v>
      </c>
      <c r="B49" s="12">
        <v>58552</v>
      </c>
      <c r="C49" s="12" t="s">
        <v>24</v>
      </c>
      <c r="D49" s="12">
        <v>14</v>
      </c>
      <c r="E49" s="12">
        <v>15</v>
      </c>
      <c r="F49" s="12">
        <v>5</v>
      </c>
      <c r="G49" s="12">
        <v>8</v>
      </c>
      <c r="H49" s="12">
        <v>7</v>
      </c>
      <c r="I49" s="12">
        <v>4</v>
      </c>
      <c r="J49" s="12">
        <v>5</v>
      </c>
      <c r="K49" s="12">
        <v>2</v>
      </c>
      <c r="L49" s="12">
        <v>1</v>
      </c>
      <c r="M49" s="12">
        <v>2</v>
      </c>
    </row>
    <row r="50" spans="1:13" x14ac:dyDescent="0.2">
      <c r="A50" s="12" t="s">
        <v>21</v>
      </c>
      <c r="B50" s="12">
        <v>58553</v>
      </c>
      <c r="C50" s="12" t="s">
        <v>25</v>
      </c>
      <c r="D50" s="12">
        <v>22</v>
      </c>
      <c r="E50" s="12">
        <v>13</v>
      </c>
      <c r="F50" s="12">
        <v>13</v>
      </c>
      <c r="G50" s="12">
        <v>12</v>
      </c>
      <c r="H50" s="12">
        <v>16</v>
      </c>
      <c r="I50" s="12">
        <v>8</v>
      </c>
      <c r="J50" s="12">
        <v>13</v>
      </c>
      <c r="K50" s="12">
        <v>5</v>
      </c>
      <c r="L50" s="12">
        <v>0</v>
      </c>
      <c r="M50" s="12">
        <v>0</v>
      </c>
    </row>
    <row r="51" spans="1:13" x14ac:dyDescent="0.2">
      <c r="A51" s="12" t="s">
        <v>21</v>
      </c>
      <c r="B51" s="12">
        <v>58554</v>
      </c>
      <c r="C51" s="12" t="s">
        <v>26</v>
      </c>
      <c r="D51" s="12">
        <v>19</v>
      </c>
      <c r="E51" s="12">
        <v>18</v>
      </c>
      <c r="F51" s="12">
        <v>12</v>
      </c>
      <c r="G51" s="12">
        <v>16</v>
      </c>
      <c r="H51" s="12">
        <v>6</v>
      </c>
      <c r="I51" s="12">
        <v>2</v>
      </c>
      <c r="J51" s="12">
        <v>5</v>
      </c>
      <c r="K51" s="12">
        <v>1</v>
      </c>
      <c r="L51" s="12">
        <v>0</v>
      </c>
      <c r="M51" s="12">
        <v>0</v>
      </c>
    </row>
    <row r="52" spans="1:13" x14ac:dyDescent="0.2">
      <c r="A52" s="12" t="s">
        <v>21</v>
      </c>
      <c r="B52" s="12">
        <v>66215</v>
      </c>
      <c r="C52" s="12" t="s">
        <v>27</v>
      </c>
      <c r="D52" s="12">
        <v>18</v>
      </c>
      <c r="E52" s="12">
        <v>18</v>
      </c>
      <c r="F52" s="12">
        <v>10</v>
      </c>
      <c r="G52" s="12">
        <v>13</v>
      </c>
      <c r="H52" s="12">
        <v>4</v>
      </c>
      <c r="I52" s="12">
        <v>6</v>
      </c>
      <c r="J52" s="12">
        <v>4</v>
      </c>
      <c r="K52" s="12">
        <v>6</v>
      </c>
      <c r="L52" s="12">
        <v>1</v>
      </c>
      <c r="M52" s="12">
        <v>2</v>
      </c>
    </row>
    <row r="53" spans="1:13" x14ac:dyDescent="0.2">
      <c r="A53" s="12" t="s">
        <v>21</v>
      </c>
      <c r="B53" s="12">
        <v>66216</v>
      </c>
      <c r="C53" s="12" t="s">
        <v>28</v>
      </c>
      <c r="D53" s="12">
        <v>12</v>
      </c>
      <c r="E53" s="12">
        <v>18</v>
      </c>
      <c r="F53" s="12">
        <v>9</v>
      </c>
      <c r="G53" s="12">
        <v>13</v>
      </c>
      <c r="H53" s="12">
        <v>8</v>
      </c>
      <c r="I53" s="12">
        <v>13</v>
      </c>
      <c r="J53" s="12">
        <v>8</v>
      </c>
      <c r="K53" s="12">
        <v>11</v>
      </c>
      <c r="L53" s="12">
        <v>1</v>
      </c>
      <c r="M53" s="12">
        <v>0</v>
      </c>
    </row>
    <row r="54" spans="1:13" x14ac:dyDescent="0.2">
      <c r="A54" s="12" t="s">
        <v>21</v>
      </c>
      <c r="B54" s="12">
        <v>67707</v>
      </c>
      <c r="C54" s="12" t="s">
        <v>29</v>
      </c>
      <c r="D54" s="12">
        <v>11</v>
      </c>
      <c r="E54" s="12">
        <v>19</v>
      </c>
      <c r="F54" s="12">
        <v>9</v>
      </c>
      <c r="G54" s="12">
        <v>16</v>
      </c>
      <c r="H54" s="12">
        <v>4</v>
      </c>
      <c r="I54" s="12">
        <v>7</v>
      </c>
      <c r="J54" s="12">
        <v>3</v>
      </c>
      <c r="K54" s="12">
        <v>7</v>
      </c>
      <c r="L54" s="12">
        <v>1</v>
      </c>
      <c r="M54" s="12">
        <v>2</v>
      </c>
    </row>
    <row r="55" spans="1:13" x14ac:dyDescent="0.2">
      <c r="A55" s="12" t="s">
        <v>21</v>
      </c>
      <c r="B55" s="12">
        <v>67708</v>
      </c>
      <c r="C55" s="12" t="s">
        <v>30</v>
      </c>
      <c r="D55" s="12">
        <v>16</v>
      </c>
      <c r="E55" s="12">
        <v>12</v>
      </c>
      <c r="F55" s="12">
        <v>12</v>
      </c>
      <c r="G55" s="12">
        <v>10</v>
      </c>
      <c r="H55" s="12">
        <v>6</v>
      </c>
      <c r="I55" s="12">
        <v>1</v>
      </c>
      <c r="J55" s="12">
        <v>0</v>
      </c>
      <c r="K55" s="12">
        <v>0</v>
      </c>
      <c r="L55" s="12">
        <v>2</v>
      </c>
      <c r="M55" s="12">
        <v>0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Kraftwerk</vt:lpstr>
    </vt:vector>
  </TitlesOfParts>
  <Manager/>
  <Company/>
  <LinksUpToDate>false</LinksUpToDate>
  <SharedDoc>false</SharedDoc>
  <HyperlinkBase>https://github.com/wloche/jira-tools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Wilfried Loche</dc:creator>
  <cp:keywords>jira, sprints, statistics</cp:keywords>
  <dc:description/>
  <cp:lastModifiedBy>Wilfried Loche</cp:lastModifiedBy>
  <dcterms:created xsi:type="dcterms:W3CDTF">2018-07-23T02:34:05Z</dcterms:created>
  <dcterms:modified xsi:type="dcterms:W3CDTF">2020-09-23T20:03:23Z</dcterms:modified>
  <cp:category>sprints-stats</cp:category>
</cp:coreProperties>
</file>